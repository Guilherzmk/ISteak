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227" codeName="{37A63EE7-654F-3FA9-A528-636911D70600}"/>
  <workbookPr showInkAnnotation="0" codeName="EstaPastaDeTrabalho" autoCompressPictures="0"/>
  <mc:AlternateContent xmlns:mc="http://schemas.openxmlformats.org/markup-compatibility/2006">
    <mc:Choice Requires="x15">
      <x15ac:absPath xmlns:x15ac="http://schemas.microsoft.com/office/spreadsheetml/2010/11/ac" url="C:\Projects\OpenERX\Docs\"/>
    </mc:Choice>
  </mc:AlternateContent>
  <xr:revisionPtr revIDLastSave="0" documentId="13_ncr:1_{E5F14D4E-B88E-4E09-BB26-456BCDF08166}" xr6:coauthVersionLast="47" xr6:coauthVersionMax="47" xr10:uidLastSave="{00000000-0000-0000-0000-000000000000}"/>
  <bookViews>
    <workbookView xWindow="-120" yWindow="-120" windowWidth="29040" windowHeight="15720" tabRatio="500" xr2:uid="{00000000-000D-0000-FFFF-FFFF00000000}"/>
  </bookViews>
  <sheets>
    <sheet name="COLLECTION" sheetId="1" r:id="rId1"/>
  </sheets>
  <functionGroups builtInGroupCount="19"/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2" i="1" l="1"/>
  <c r="E13" i="1"/>
  <c r="E27" i="1"/>
  <c r="E21" i="1"/>
  <c r="E26" i="1"/>
  <c r="E20" i="1"/>
  <c r="E25" i="1"/>
  <c r="E24" i="1"/>
  <c r="E23" i="1"/>
  <c r="E28" i="1"/>
  <c r="E22" i="1"/>
  <c r="E19" i="1"/>
  <c r="E18" i="1"/>
  <c r="E17" i="1"/>
  <c r="E11" i="1" l="1"/>
  <c r="E15" i="1"/>
  <c r="E2" i="1" l="1"/>
  <c r="E14" i="1"/>
  <c r="E8" i="1"/>
  <c r="E29" i="1"/>
  <c r="D2" i="1" l="1"/>
  <c r="J2" i="1"/>
  <c r="E5" i="1"/>
  <c r="B2" i="1"/>
  <c r="E7" i="1"/>
  <c r="E9" i="1"/>
  <c r="E16" i="1"/>
  <c r="E6" i="1"/>
  <c r="E10" i="1"/>
</calcChain>
</file>

<file path=xl/sharedStrings.xml><?xml version="1.0" encoding="utf-8"?>
<sst xmlns="http://schemas.openxmlformats.org/spreadsheetml/2006/main" count="120" uniqueCount="78">
  <si>
    <t>DESCRIPTION</t>
  </si>
  <si>
    <t>ENTITY</t>
  </si>
  <si>
    <t>ENTITY FIELD</t>
  </si>
  <si>
    <t>TYPE</t>
  </si>
  <si>
    <t>TOSTRING FIELD</t>
  </si>
  <si>
    <t>ALLOW NULL</t>
  </si>
  <si>
    <t>SIZE</t>
  </si>
  <si>
    <t>false</t>
  </si>
  <si>
    <t>PRIMARY KEY</t>
  </si>
  <si>
    <t>int</t>
  </si>
  <si>
    <t>DATA FIELD</t>
  </si>
  <si>
    <t>true</t>
  </si>
  <si>
    <t>string</t>
  </si>
  <si>
    <t>Guid</t>
  </si>
  <si>
    <t>Note</t>
  </si>
  <si>
    <t>Observação</t>
  </si>
  <si>
    <t>Código Status do Registro</t>
  </si>
  <si>
    <t>DOMAINS</t>
  </si>
  <si>
    <t>Code</t>
  </si>
  <si>
    <t>bool</t>
  </si>
  <si>
    <t>REPOSITORY</t>
  </si>
  <si>
    <t>SHORT DESCRIPTION</t>
  </si>
  <si>
    <t>PARENT</t>
  </si>
  <si>
    <t>PARENT DESCRIPTION</t>
  </si>
  <si>
    <t>FEATURE CODE</t>
  </si>
  <si>
    <t>ENTITY CODE</t>
  </si>
  <si>
    <t>Description</t>
  </si>
  <si>
    <t>Id</t>
  </si>
  <si>
    <t>Código</t>
  </si>
  <si>
    <t>VERSION</t>
  </si>
  <si>
    <t>Descrição</t>
  </si>
  <si>
    <t>RecordStatus</t>
  </si>
  <si>
    <t>Name</t>
  </si>
  <si>
    <t>Nome do Status</t>
  </si>
  <si>
    <t>Enabled</t>
  </si>
  <si>
    <t>Color</t>
  </si>
  <si>
    <t>Cor</t>
  </si>
  <si>
    <t>short</t>
  </si>
  <si>
    <t>Model</t>
  </si>
  <si>
    <t>Modelo</t>
  </si>
  <si>
    <t>TypeCode</t>
  </si>
  <si>
    <t>Código do Tipo</t>
  </si>
  <si>
    <t>TypeName</t>
  </si>
  <si>
    <t>Nome do Tipo</t>
  </si>
  <si>
    <t>Items</t>
  </si>
  <si>
    <t>List&lt;Object&gt;</t>
  </si>
  <si>
    <t>AccountId</t>
  </si>
  <si>
    <t>ID da Conta</t>
  </si>
  <si>
    <t>AccountCode</t>
  </si>
  <si>
    <t>Código da Conta</t>
  </si>
  <si>
    <t>AccountName</t>
  </si>
  <si>
    <t>Nome da Conta</t>
  </si>
  <si>
    <t>CreationDate</t>
  </si>
  <si>
    <t>DateTime</t>
  </si>
  <si>
    <t>Data de Criação</t>
  </si>
  <si>
    <t>CreationUserId</t>
  </si>
  <si>
    <t>Id do Usuário de Criação</t>
  </si>
  <si>
    <t>CreationUserName</t>
  </si>
  <si>
    <t>Nome do Usuário de Criação</t>
  </si>
  <si>
    <t>ChangeDate</t>
  </si>
  <si>
    <t>Data de Alterção</t>
  </si>
  <si>
    <t>ChangeUserId</t>
  </si>
  <si>
    <t>Id do Usuário de Alteração</t>
  </si>
  <si>
    <t>ChangeUserName</t>
  </si>
  <si>
    <t>Nome do Usuário de Alteração</t>
  </si>
  <si>
    <t>ExclusionDate</t>
  </si>
  <si>
    <t>Data de Exclusão</t>
  </si>
  <si>
    <t>ExclusionUserId</t>
  </si>
  <si>
    <t>Id do Usuário de Exclusão</t>
  </si>
  <si>
    <t>ExclusionUserName</t>
  </si>
  <si>
    <t>Nome do Usuário de Exclusão</t>
  </si>
  <si>
    <t>Itens</t>
  </si>
  <si>
    <t>Value</t>
  </si>
  <si>
    <t>double</t>
  </si>
  <si>
    <t>Valor</t>
  </si>
  <si>
    <t>Ativo</t>
  </si>
  <si>
    <t>Date</t>
  </si>
  <si>
    <t>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</si>
</sst>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</fills>
  <borders count="1">
    <border>
      <left/>
      <right/>
      <top/>
      <bottom/>
      <diagonal/>
    </border>
  </borders>
  <cellStyleXfs count="87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3">
    <xf numFmtId="0" fontId="0" fillId="0" borderId="0" xfId="0"/>
    <xf numFmtId="0" fontId="3" fillId="2" borderId="0" xfId="0" applyFont="1" applyFill="1"/>
    <xf numFmtId="0" fontId="3" fillId="2" borderId="0" xfId="0" applyFont="1" applyFill="1" applyAlignment="1">
      <alignment horizontal="center"/>
    </xf>
    <xf numFmtId="0" fontId="3" fillId="3" borderId="0" xfId="0" applyFont="1" applyFill="1"/>
    <xf numFmtId="0" fontId="3" fillId="3" borderId="0" xfId="0" applyFont="1" applyFill="1" applyAlignment="1">
      <alignment horizontal="center"/>
    </xf>
    <xf numFmtId="0" fontId="3" fillId="4" borderId="0" xfId="0" applyFont="1" applyFill="1"/>
    <xf numFmtId="0" fontId="3" fillId="4" borderId="0" xfId="0" applyFont="1" applyFill="1" applyAlignment="1">
      <alignment horizontal="center"/>
    </xf>
    <xf numFmtId="0" fontId="3" fillId="5" borderId="0" xfId="0" applyFont="1" applyFill="1"/>
    <xf numFmtId="0" fontId="3" fillId="5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center"/>
    </xf>
    <xf numFmtId="0" fontId="3" fillId="2" borderId="0" xfId="0" applyFont="1" applyFill="1" applyAlignment="1">
      <alignment wrapText="1"/>
    </xf>
    <xf numFmtId="14" fontId="3" fillId="3" borderId="0" xfId="0" applyNumberFormat="1" applyFont="1" applyFill="1"/>
  </cellXfs>
  <cellStyles count="87">
    <cellStyle name="Hiperlink" xfId="1" builtinId="8" hidden="1"/>
    <cellStyle name="Hiperlink" xfId="3" builtinId="8" hidden="1"/>
    <cellStyle name="Hiperlink" xfId="5" builtinId="8" hidden="1"/>
    <cellStyle name="Hiperlink" xfId="7" builtinId="8" hidden="1"/>
    <cellStyle name="Hiperlink" xfId="9" builtinId="8" hidden="1"/>
    <cellStyle name="Hiperlink" xfId="11" builtinId="8" hidden="1"/>
    <cellStyle name="Hiperlink" xfId="13" builtinId="8" hidden="1"/>
    <cellStyle name="Hiperlink" xfId="15" builtinId="8" hidden="1"/>
    <cellStyle name="Hiperlink" xfId="17" builtinId="8" hidden="1"/>
    <cellStyle name="Hiperlink" xfId="19" builtinId="8" hidden="1"/>
    <cellStyle name="Hiperlink" xfId="21" builtinId="8" hidden="1"/>
    <cellStyle name="Hiperlink" xfId="23" builtinId="8" hidden="1"/>
    <cellStyle name="Hiperlink" xfId="25" builtinId="8" hidden="1"/>
    <cellStyle name="Hiperlink" xfId="27" builtinId="8" hidden="1"/>
    <cellStyle name="Hiperlink" xfId="29" builtinId="8" hidden="1"/>
    <cellStyle name="Hiperlink" xfId="31" builtinId="8" hidden="1"/>
    <cellStyle name="Hiperlink" xfId="33" builtinId="8" hidden="1"/>
    <cellStyle name="Hiperlink" xfId="35" builtinId="8" hidden="1"/>
    <cellStyle name="Hiperlink" xfId="37" builtinId="8" hidden="1"/>
    <cellStyle name="Hiperlink" xfId="39" builtinId="8" hidden="1"/>
    <cellStyle name="Hiperlink" xfId="41" builtinId="8" hidden="1"/>
    <cellStyle name="Hiperlink" xfId="43" builtinId="8" hidden="1"/>
    <cellStyle name="Hiperlink" xfId="45" builtinId="8" hidden="1"/>
    <cellStyle name="Hiperlink" xfId="47" builtinId="8" hidden="1"/>
    <cellStyle name="Hiperlink" xfId="49" builtinId="8" hidden="1"/>
    <cellStyle name="Hiperlink" xfId="51" builtinId="8" hidden="1"/>
    <cellStyle name="Hiperlink" xfId="53" builtinId="8" hidden="1"/>
    <cellStyle name="Hiperlink" xfId="55" builtinId="8" hidden="1"/>
    <cellStyle name="Hiperlink" xfId="57" builtinId="8" hidden="1"/>
    <cellStyle name="Hiperlink" xfId="59" builtinId="8" hidden="1"/>
    <cellStyle name="Hiperlink" xfId="61" builtinId="8" hidden="1"/>
    <cellStyle name="Hiperlink" xfId="63" builtinId="8" hidden="1"/>
    <cellStyle name="Hiperlink" xfId="65" builtinId="8" hidden="1"/>
    <cellStyle name="Hiperlink" xfId="67" builtinId="8" hidden="1"/>
    <cellStyle name="Hiperlink" xfId="69" builtinId="8" hidden="1"/>
    <cellStyle name="Hiperlink" xfId="71" builtinId="8" hidden="1"/>
    <cellStyle name="Hiperlink" xfId="73" builtinId="8" hidden="1"/>
    <cellStyle name="Hiperlink" xfId="75" builtinId="8" hidden="1"/>
    <cellStyle name="Hiperlink" xfId="77" builtinId="8" hidden="1"/>
    <cellStyle name="Hiperlink" xfId="79" builtinId="8" hidden="1"/>
    <cellStyle name="Hiperlink" xfId="81" builtinId="8" hidden="1"/>
    <cellStyle name="Hiperlink" xfId="83" builtinId="8" hidden="1"/>
    <cellStyle name="Hiperlink" xfId="85" builtinId="8" hidden="1"/>
    <cellStyle name="Hiperlink Visitado" xfId="2" builtinId="9" hidden="1"/>
    <cellStyle name="Hiperlink Visitado" xfId="4" builtinId="9" hidden="1"/>
    <cellStyle name="Hiperlink Visitado" xfId="6" builtinId="9" hidden="1"/>
    <cellStyle name="Hiperlink Visitado" xfId="8" builtinId="9" hidden="1"/>
    <cellStyle name="Hiperlink Visitado" xfId="10" builtinId="9" hidden="1"/>
    <cellStyle name="Hiperlink Visitado" xfId="12" builtinId="9" hidden="1"/>
    <cellStyle name="Hiperlink Visitado" xfId="14" builtinId="9" hidden="1"/>
    <cellStyle name="Hiperlink Visitado" xfId="16" builtinId="9" hidden="1"/>
    <cellStyle name="Hiperlink Visitado" xfId="18" builtinId="9" hidden="1"/>
    <cellStyle name="Hiperlink Visitado" xfId="20" builtinId="9" hidden="1"/>
    <cellStyle name="Hiperlink Visitado" xfId="22" builtinId="9" hidden="1"/>
    <cellStyle name="Hiperlink Visitado" xfId="24" builtinId="9" hidden="1"/>
    <cellStyle name="Hiperlink Visitado" xfId="26" builtinId="9" hidden="1"/>
    <cellStyle name="Hiperlink Visitado" xfId="28" builtinId="9" hidden="1"/>
    <cellStyle name="Hiperlink Visitado" xfId="30" builtinId="9" hidden="1"/>
    <cellStyle name="Hiperlink Visitado" xfId="32" builtinId="9" hidden="1"/>
    <cellStyle name="Hiperlink Visitado" xfId="34" builtinId="9" hidden="1"/>
    <cellStyle name="Hiperlink Visitado" xfId="36" builtinId="9" hidden="1"/>
    <cellStyle name="Hiperlink Visitado" xfId="38" builtinId="9" hidden="1"/>
    <cellStyle name="Hiperlink Visitado" xfId="40" builtinId="9" hidden="1"/>
    <cellStyle name="Hiperlink Visitado" xfId="42" builtinId="9" hidden="1"/>
    <cellStyle name="Hiperlink Visitado" xfId="44" builtinId="9" hidden="1"/>
    <cellStyle name="Hiperlink Visitado" xfId="46" builtinId="9" hidden="1"/>
    <cellStyle name="Hiperlink Visitado" xfId="48" builtinId="9" hidden="1"/>
    <cellStyle name="Hiperlink Visitado" xfId="50" builtinId="9" hidden="1"/>
    <cellStyle name="Hiperlink Visitado" xfId="52" builtinId="9" hidden="1"/>
    <cellStyle name="Hiperlink Visitado" xfId="54" builtinId="9" hidden="1"/>
    <cellStyle name="Hiperlink Visitado" xfId="56" builtinId="9" hidden="1"/>
    <cellStyle name="Hiperlink Visitado" xfId="58" builtinId="9" hidden="1"/>
    <cellStyle name="Hiperlink Visitado" xfId="60" builtinId="9" hidden="1"/>
    <cellStyle name="Hiperlink Visitado" xfId="62" builtinId="9" hidden="1"/>
    <cellStyle name="Hiperlink Visitado" xfId="64" builtinId="9" hidden="1"/>
    <cellStyle name="Hiperlink Visitado" xfId="66" builtinId="9" hidden="1"/>
    <cellStyle name="Hiperlink Visitado" xfId="68" builtinId="9" hidden="1"/>
    <cellStyle name="Hiperlink Visitado" xfId="70" builtinId="9" hidden="1"/>
    <cellStyle name="Hiperlink Visitado" xfId="72" builtinId="9" hidden="1"/>
    <cellStyle name="Hiperlink Visitado" xfId="74" builtinId="9" hidden="1"/>
    <cellStyle name="Hiperlink Visitado" xfId="76" builtinId="9" hidden="1"/>
    <cellStyle name="Hiperlink Visitado" xfId="78" builtinId="9" hidden="1"/>
    <cellStyle name="Hiperlink Visitado" xfId="80" builtinId="9" hidden="1"/>
    <cellStyle name="Hiperlink Visitado" xfId="82" builtinId="9" hidden="1"/>
    <cellStyle name="Hiperlink Visitado" xfId="84" builtinId="9" hidden="1"/>
    <cellStyle name="Hiperlink Visitado" xfId="86" builtinId="9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K29"/>
  <sheetViews>
    <sheetView tabSelected="1" zoomScaleNormal="100" zoomScalePageLayoutView="115" workbookViewId="0">
      <selection activeCell="F13" sqref="F13"/>
    </sheetView>
  </sheetViews>
  <sheetFormatPr defaultColWidth="118" defaultRowHeight="15.75" x14ac:dyDescent="0.25"/>
  <cols>
    <col min="1" max="1" width="17.25" style="5" bestFit="1" customWidth="1"/>
    <col min="2" max="2" width="11.25" style="5" bestFit="1" customWidth="1"/>
    <col min="3" max="3" width="11.875" style="5" bestFit="1" customWidth="1"/>
    <col min="4" max="4" width="14.375" style="6" bestFit="1" customWidth="1"/>
    <col min="5" max="5" width="18.75" style="5" bestFit="1" customWidth="1"/>
    <col min="6" max="6" width="28.5" style="5" bestFit="1" customWidth="1"/>
    <col min="7" max="7" width="8.875" style="5" bestFit="1" customWidth="1"/>
    <col min="8" max="8" width="19.125" style="5" bestFit="1" customWidth="1"/>
    <col min="9" max="9" width="13.625" style="5" bestFit="1" customWidth="1"/>
    <col min="10" max="10" width="11.875" style="5" bestFit="1" customWidth="1"/>
    <col min="11" max="11" width="10.375" style="5" bestFit="1" customWidth="1"/>
    <col min="12" max="12" width="6.25" style="5" bestFit="1" customWidth="1"/>
    <col min="13" max="13" width="6.75" style="5" bestFit="1" customWidth="1"/>
    <col min="14" max="14" width="13.25" style="5" bestFit="1" customWidth="1"/>
    <col min="15" max="15" width="12.75" style="5" bestFit="1" customWidth="1"/>
    <col min="16" max="16" width="23" style="5" bestFit="1" customWidth="1"/>
    <col min="17" max="17" width="24.375" style="5" bestFit="1" customWidth="1"/>
    <col min="18" max="18" width="16.25" style="5" bestFit="1" customWidth="1"/>
    <col min="19" max="19" width="16.5" style="5" bestFit="1" customWidth="1"/>
    <col min="20" max="20" width="18.5" style="5" bestFit="1" customWidth="1"/>
    <col min="21" max="21" width="10.125" style="5" bestFit="1" customWidth="1"/>
    <col min="22" max="22" width="12.25" style="5" bestFit="1" customWidth="1"/>
    <col min="23" max="16384" width="118" style="5"/>
  </cols>
  <sheetData>
    <row r="1" spans="1:11" s="1" customFormat="1" x14ac:dyDescent="0.25">
      <c r="A1" s="1" t="s">
        <v>1</v>
      </c>
      <c r="B1" s="2" t="s">
        <v>20</v>
      </c>
      <c r="C1" s="1" t="s">
        <v>0</v>
      </c>
      <c r="D1" s="2" t="s">
        <v>4</v>
      </c>
      <c r="E1" s="1" t="s">
        <v>8</v>
      </c>
      <c r="F1" s="1" t="s">
        <v>21</v>
      </c>
      <c r="G1" s="11" t="s">
        <v>22</v>
      </c>
      <c r="H1" s="11" t="s">
        <v>23</v>
      </c>
      <c r="I1" s="11" t="s">
        <v>24</v>
      </c>
      <c r="J1" s="11" t="s">
        <v>25</v>
      </c>
      <c r="K1" s="1" t="s">
        <v>29</v>
      </c>
    </row>
    <row r="2" spans="1:11" s="3" customFormat="1" x14ac:dyDescent="0.25">
      <c r="A2" s="3" t="s">
        <v>38</v>
      </c>
      <c r="B2" s="3" t="str">
        <f>SplitProp(A2)</f>
        <v>model</v>
      </c>
      <c r="C2" s="3" t="s">
        <v>39</v>
      </c>
      <c r="D2" s="4" t="str">
        <f>A7</f>
        <v>Name</v>
      </c>
      <c r="E2" s="3" t="str">
        <f>A5</f>
        <v>Id</v>
      </c>
      <c r="I2" s="3">
        <v>0</v>
      </c>
      <c r="J2" s="3" t="str">
        <f>A6</f>
        <v>Code</v>
      </c>
      <c r="K2" s="12">
        <v>45035</v>
      </c>
    </row>
    <row r="4" spans="1:11" s="1" customFormat="1" x14ac:dyDescent="0.25">
      <c r="A4" s="1" t="s">
        <v>2</v>
      </c>
      <c r="B4" s="2" t="s">
        <v>3</v>
      </c>
      <c r="C4" s="1" t="s">
        <v>5</v>
      </c>
      <c r="D4" s="2" t="s">
        <v>6</v>
      </c>
      <c r="E4" s="1" t="s">
        <v>10</v>
      </c>
      <c r="F4" s="1" t="s">
        <v>0</v>
      </c>
      <c r="G4" s="1" t="s">
        <v>17</v>
      </c>
    </row>
    <row r="5" spans="1:11" x14ac:dyDescent="0.25">
      <c r="A5" s="5" t="s">
        <v>27</v>
      </c>
      <c r="B5" s="5" t="s">
        <v>13</v>
      </c>
      <c r="C5" s="5" t="s">
        <v>7</v>
      </c>
      <c r="D5" s="6">
        <v>50</v>
      </c>
      <c r="E5" s="5" t="str">
        <f>SplitProp(A5)</f>
        <v>id</v>
      </c>
      <c r="F5" s="5" t="s">
        <v>27</v>
      </c>
    </row>
    <row r="6" spans="1:11" s="3" customFormat="1" x14ac:dyDescent="0.25">
      <c r="A6" s="3" t="s">
        <v>18</v>
      </c>
      <c r="B6" s="3" t="s">
        <v>9</v>
      </c>
      <c r="C6" s="3" t="s">
        <v>7</v>
      </c>
      <c r="D6" s="4">
        <v>10</v>
      </c>
      <c r="E6" s="3" t="str">
        <f t="shared" ref="E6" si="0">SplitProp(A6)</f>
        <v>code</v>
      </c>
      <c r="F6" s="3" t="s">
        <v>28</v>
      </c>
    </row>
    <row r="7" spans="1:11" x14ac:dyDescent="0.25">
      <c r="A7" s="5" t="s">
        <v>32</v>
      </c>
      <c r="B7" s="5" t="s">
        <v>12</v>
      </c>
      <c r="C7" s="5" t="s">
        <v>7</v>
      </c>
      <c r="D7" s="6">
        <v>255</v>
      </c>
      <c r="E7" s="5" t="str">
        <f>SplitProp(A7)</f>
        <v>name</v>
      </c>
      <c r="F7" s="5" t="s">
        <v>33</v>
      </c>
    </row>
    <row r="8" spans="1:11" s="3" customFormat="1" x14ac:dyDescent="0.25">
      <c r="A8" s="3" t="s">
        <v>35</v>
      </c>
      <c r="B8" s="3" t="s">
        <v>12</v>
      </c>
      <c r="C8" s="3" t="s">
        <v>11</v>
      </c>
      <c r="D8" s="4">
        <v>25</v>
      </c>
      <c r="E8" s="3" t="str">
        <f t="shared" ref="E8" si="1">SplitProp(A8)</f>
        <v>color</v>
      </c>
      <c r="F8" s="3" t="s">
        <v>36</v>
      </c>
    </row>
    <row r="9" spans="1:11" x14ac:dyDescent="0.25">
      <c r="A9" s="5" t="s">
        <v>26</v>
      </c>
      <c r="B9" s="5" t="s">
        <v>12</v>
      </c>
      <c r="C9" s="5" t="s">
        <v>11</v>
      </c>
      <c r="D9" s="6">
        <v>255</v>
      </c>
      <c r="E9" s="5" t="str">
        <f t="shared" ref="E9" si="2">SplitProp(A9)</f>
        <v>description</v>
      </c>
      <c r="F9" s="5" t="s">
        <v>30</v>
      </c>
    </row>
    <row r="10" spans="1:11" s="3" customFormat="1" x14ac:dyDescent="0.25">
      <c r="A10" s="3" t="s">
        <v>40</v>
      </c>
      <c r="B10" s="3" t="s">
        <v>9</v>
      </c>
      <c r="C10" s="3" t="s">
        <v>7</v>
      </c>
      <c r="D10" s="4">
        <v>0</v>
      </c>
      <c r="E10" s="3" t="str">
        <f>SplitProp(A10)</f>
        <v>type_code</v>
      </c>
      <c r="F10" s="3" t="s">
        <v>41</v>
      </c>
    </row>
    <row r="11" spans="1:11" x14ac:dyDescent="0.25">
      <c r="A11" s="5" t="s">
        <v>42</v>
      </c>
      <c r="B11" s="5" t="s">
        <v>12</v>
      </c>
      <c r="C11" s="5" t="s">
        <v>11</v>
      </c>
      <c r="D11" s="6">
        <v>255</v>
      </c>
      <c r="E11" s="5" t="str">
        <f t="shared" ref="E11:E13" si="3">SplitProp(A11)</f>
        <v>type_name</v>
      </c>
      <c r="F11" s="5" t="s">
        <v>43</v>
      </c>
    </row>
    <row r="12" spans="1:11" s="3" customFormat="1" x14ac:dyDescent="0.25">
      <c r="A12" s="3" t="s">
        <v>76</v>
      </c>
      <c r="B12" s="3" t="s">
        <v>53</v>
      </c>
      <c r="C12" s="3" t="s">
        <v>7</v>
      </c>
      <c r="D12" s="4">
        <v>10</v>
      </c>
      <c r="E12" s="3" t="str">
        <f t="shared" si="3"/>
        <v>date</v>
      </c>
      <c r="F12" s="3" t="s">
        <v>77</v>
      </c>
    </row>
    <row r="13" spans="1:11" x14ac:dyDescent="0.25">
      <c r="A13" s="5" t="s">
        <v>72</v>
      </c>
      <c r="B13" s="5" t="s">
        <v>73</v>
      </c>
      <c r="C13" s="5" t="s">
        <v>7</v>
      </c>
      <c r="D13" s="6">
        <v>10</v>
      </c>
      <c r="E13" s="5" t="str">
        <f t="shared" si="3"/>
        <v>value</v>
      </c>
      <c r="F13" s="5" t="s">
        <v>74</v>
      </c>
    </row>
    <row r="14" spans="1:11" s="3" customFormat="1" x14ac:dyDescent="0.25">
      <c r="A14" s="3" t="s">
        <v>34</v>
      </c>
      <c r="B14" s="3" t="s">
        <v>19</v>
      </c>
      <c r="C14" s="3" t="s">
        <v>7</v>
      </c>
      <c r="D14" s="4">
        <v>0</v>
      </c>
      <c r="E14" s="3" t="str">
        <f t="shared" ref="E14" si="4">SplitProp(A14)</f>
        <v>enabled</v>
      </c>
      <c r="F14" s="3" t="s">
        <v>75</v>
      </c>
    </row>
    <row r="15" spans="1:11" x14ac:dyDescent="0.25">
      <c r="A15" s="5" t="s">
        <v>44</v>
      </c>
      <c r="B15" s="5" t="s">
        <v>45</v>
      </c>
      <c r="C15" s="5" t="s">
        <v>11</v>
      </c>
      <c r="D15" s="6">
        <v>0</v>
      </c>
      <c r="E15" s="5" t="str">
        <f>SplitProp(A15)</f>
        <v>items</v>
      </c>
      <c r="F15" s="5" t="s">
        <v>71</v>
      </c>
    </row>
    <row r="16" spans="1:11" s="3" customFormat="1" x14ac:dyDescent="0.25">
      <c r="A16" s="3" t="s">
        <v>14</v>
      </c>
      <c r="B16" s="3" t="s">
        <v>12</v>
      </c>
      <c r="C16" s="3" t="s">
        <v>11</v>
      </c>
      <c r="D16" s="4">
        <v>8000</v>
      </c>
      <c r="E16" s="3" t="str">
        <f>SplitProp(A16)</f>
        <v>note</v>
      </c>
      <c r="F16" s="3" t="s">
        <v>15</v>
      </c>
    </row>
    <row r="17" spans="1:6" s="9" customFormat="1" x14ac:dyDescent="0.25">
      <c r="A17" s="9" t="s">
        <v>46</v>
      </c>
      <c r="B17" s="9" t="s">
        <v>13</v>
      </c>
      <c r="C17" s="9" t="s">
        <v>7</v>
      </c>
      <c r="D17" s="10">
        <v>50</v>
      </c>
      <c r="E17" s="9" t="str">
        <f t="shared" ref="E17:E19" si="5">SplitProp(A17)</f>
        <v>account_id</v>
      </c>
      <c r="F17" s="9" t="s">
        <v>47</v>
      </c>
    </row>
    <row r="18" spans="1:6" s="7" customFormat="1" x14ac:dyDescent="0.25">
      <c r="A18" s="7" t="s">
        <v>48</v>
      </c>
      <c r="B18" s="7" t="s">
        <v>9</v>
      </c>
      <c r="C18" s="7" t="s">
        <v>7</v>
      </c>
      <c r="D18" s="8">
        <v>10</v>
      </c>
      <c r="E18" s="7" t="str">
        <f t="shared" si="5"/>
        <v>account_code</v>
      </c>
      <c r="F18" s="7" t="s">
        <v>49</v>
      </c>
    </row>
    <row r="19" spans="1:6" s="9" customFormat="1" x14ac:dyDescent="0.25">
      <c r="A19" s="9" t="s">
        <v>50</v>
      </c>
      <c r="B19" s="9" t="s">
        <v>12</v>
      </c>
      <c r="C19" s="9" t="s">
        <v>7</v>
      </c>
      <c r="D19" s="10">
        <v>150</v>
      </c>
      <c r="E19" s="9" t="str">
        <f t="shared" si="5"/>
        <v>account_name</v>
      </c>
      <c r="F19" s="9" t="s">
        <v>51</v>
      </c>
    </row>
    <row r="20" spans="1:6" s="7" customFormat="1" x14ac:dyDescent="0.25">
      <c r="A20" s="7" t="s">
        <v>52</v>
      </c>
      <c r="B20" s="7" t="s">
        <v>53</v>
      </c>
      <c r="C20" s="7" t="s">
        <v>7</v>
      </c>
      <c r="D20" s="8">
        <v>10</v>
      </c>
      <c r="E20" s="7" t="str">
        <f t="shared" ref="E20:E28" si="6">SplitProp(A20)</f>
        <v>creation_date</v>
      </c>
      <c r="F20" s="7" t="s">
        <v>54</v>
      </c>
    </row>
    <row r="21" spans="1:6" s="9" customFormat="1" x14ac:dyDescent="0.25">
      <c r="A21" s="9" t="s">
        <v>55</v>
      </c>
      <c r="B21" s="9" t="s">
        <v>13</v>
      </c>
      <c r="C21" s="9" t="s">
        <v>7</v>
      </c>
      <c r="D21" s="10">
        <v>50</v>
      </c>
      <c r="E21" s="9" t="str">
        <f t="shared" si="6"/>
        <v>creation_user_id</v>
      </c>
      <c r="F21" s="9" t="s">
        <v>56</v>
      </c>
    </row>
    <row r="22" spans="1:6" s="7" customFormat="1" x14ac:dyDescent="0.25">
      <c r="A22" s="7" t="s">
        <v>57</v>
      </c>
      <c r="B22" s="7" t="s">
        <v>12</v>
      </c>
      <c r="C22" s="7" t="s">
        <v>7</v>
      </c>
      <c r="D22" s="8">
        <v>150</v>
      </c>
      <c r="E22" s="7" t="str">
        <f t="shared" si="6"/>
        <v>creation_user_name</v>
      </c>
      <c r="F22" s="7" t="s">
        <v>58</v>
      </c>
    </row>
    <row r="23" spans="1:6" s="9" customFormat="1" x14ac:dyDescent="0.25">
      <c r="A23" s="9" t="s">
        <v>59</v>
      </c>
      <c r="B23" s="9" t="s">
        <v>53</v>
      </c>
      <c r="C23" s="9" t="s">
        <v>11</v>
      </c>
      <c r="D23" s="10">
        <v>10</v>
      </c>
      <c r="E23" s="9" t="str">
        <f t="shared" si="6"/>
        <v>change_date</v>
      </c>
      <c r="F23" s="9" t="s">
        <v>60</v>
      </c>
    </row>
    <row r="24" spans="1:6" s="7" customFormat="1" x14ac:dyDescent="0.25">
      <c r="A24" s="7" t="s">
        <v>61</v>
      </c>
      <c r="B24" s="7" t="s">
        <v>13</v>
      </c>
      <c r="C24" s="7" t="s">
        <v>7</v>
      </c>
      <c r="D24" s="8">
        <v>50</v>
      </c>
      <c r="E24" s="7" t="str">
        <f t="shared" si="6"/>
        <v>change_user_id</v>
      </c>
      <c r="F24" s="7" t="s">
        <v>62</v>
      </c>
    </row>
    <row r="25" spans="1:6" s="9" customFormat="1" x14ac:dyDescent="0.25">
      <c r="A25" s="9" t="s">
        <v>63</v>
      </c>
      <c r="B25" s="9" t="s">
        <v>12</v>
      </c>
      <c r="C25" s="9" t="s">
        <v>11</v>
      </c>
      <c r="D25" s="10">
        <v>150</v>
      </c>
      <c r="E25" s="9" t="str">
        <f t="shared" si="6"/>
        <v>change_user_name</v>
      </c>
      <c r="F25" s="9" t="s">
        <v>64</v>
      </c>
    </row>
    <row r="26" spans="1:6" s="7" customFormat="1" x14ac:dyDescent="0.25">
      <c r="A26" s="7" t="s">
        <v>65</v>
      </c>
      <c r="B26" s="7" t="s">
        <v>53</v>
      </c>
      <c r="C26" s="7" t="s">
        <v>11</v>
      </c>
      <c r="D26" s="8">
        <v>10</v>
      </c>
      <c r="E26" s="7" t="str">
        <f t="shared" si="6"/>
        <v>exclusion_date</v>
      </c>
      <c r="F26" s="7" t="s">
        <v>66</v>
      </c>
    </row>
    <row r="27" spans="1:6" s="9" customFormat="1" x14ac:dyDescent="0.25">
      <c r="A27" s="9" t="s">
        <v>67</v>
      </c>
      <c r="B27" s="9" t="s">
        <v>13</v>
      </c>
      <c r="C27" s="9" t="s">
        <v>7</v>
      </c>
      <c r="D27" s="10">
        <v>50</v>
      </c>
      <c r="E27" s="9" t="str">
        <f t="shared" si="6"/>
        <v>exclusion_user_id</v>
      </c>
      <c r="F27" s="9" t="s">
        <v>68</v>
      </c>
    </row>
    <row r="28" spans="1:6" s="7" customFormat="1" x14ac:dyDescent="0.25">
      <c r="A28" s="7" t="s">
        <v>69</v>
      </c>
      <c r="B28" s="7" t="s">
        <v>12</v>
      </c>
      <c r="C28" s="7" t="s">
        <v>11</v>
      </c>
      <c r="D28" s="8">
        <v>150</v>
      </c>
      <c r="E28" s="7" t="str">
        <f t="shared" si="6"/>
        <v>exclusion_user_name</v>
      </c>
      <c r="F28" s="7" t="s">
        <v>70</v>
      </c>
    </row>
    <row r="29" spans="1:6" s="9" customFormat="1" x14ac:dyDescent="0.25">
      <c r="A29" s="9" t="s">
        <v>31</v>
      </c>
      <c r="B29" s="9" t="s">
        <v>37</v>
      </c>
      <c r="C29" s="9" t="s">
        <v>7</v>
      </c>
      <c r="D29" s="10">
        <v>0</v>
      </c>
      <c r="E29" s="9" t="str">
        <f>SplitProp(A29)</f>
        <v>record_status</v>
      </c>
      <c r="F29" s="9" t="s">
        <v>16</v>
      </c>
    </row>
  </sheetData>
  <pageMargins left="0.75" right="0.75" top="1" bottom="1" header="0.5" footer="0.5"/>
  <pageSetup orientation="portrait"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COLLECTION</vt:lpstr>
    </vt:vector>
  </TitlesOfParts>
  <Company>Eficiti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Uilan Coqueiro</dc:creator>
  <cp:lastModifiedBy>Uilan</cp:lastModifiedBy>
  <dcterms:created xsi:type="dcterms:W3CDTF">2015-11-13T18:23:01Z</dcterms:created>
  <dcterms:modified xsi:type="dcterms:W3CDTF">2023-04-19T20:00:08Z</dcterms:modified>
</cp:coreProperties>
</file>